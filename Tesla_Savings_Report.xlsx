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Breakdown Detail" sheetId="1" state="visible" r:id="rId1"/>
    <sheet xmlns:r="http://schemas.openxmlformats.org/officeDocument/2006/relationships" name="Utility Cos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$#,##0.00"/>
    <numFmt numFmtId="166" formatCode="0.0&quot;%&quot;"/>
  </numFmts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color rgb="00E0E0E0"/>
      <sz val="10"/>
    </font>
    <font>
      <b val="1"/>
      <color rgb="0000D4FF"/>
      <sz val="10"/>
    </font>
    <font>
      <b val="1"/>
      <color rgb="00FFFFFF"/>
      <sz val="12"/>
    </font>
    <font>
      <b val="1"/>
      <color rgb="0000D4FF"/>
    </font>
    <font>
      <b val="1"/>
      <color rgb="00FFFFFF"/>
    </font>
    <font>
      <b val="1"/>
      <color rgb="0000D4FF"/>
      <sz val="11"/>
    </font>
    <font>
      <b val="1"/>
      <color rgb="00FFA500"/>
    </font>
    <font>
      <b val="1"/>
      <color rgb="0000D4FF"/>
      <sz val="12"/>
    </font>
    <font>
      <b val="1"/>
      <color rgb="00FF9500"/>
      <sz val="11"/>
    </font>
    <font>
      <b val="1"/>
      <color rgb="00FFA500"/>
      <sz val="11"/>
    </font>
    <font>
      <b val="1"/>
      <color rgb="004ECDC4"/>
      <sz val="11"/>
    </font>
  </fonts>
  <fills count="5">
    <fill>
      <patternFill/>
    </fill>
    <fill>
      <patternFill patternType="gray125"/>
    </fill>
    <fill>
      <patternFill patternType="solid">
        <fgColor rgb="000D3B66"/>
        <bgColor rgb="000D3B66"/>
      </patternFill>
    </fill>
    <fill>
      <patternFill patternType="solid">
        <fgColor rgb="00131820"/>
        <bgColor rgb="00131820"/>
      </patternFill>
    </fill>
    <fill>
      <patternFill patternType="solid">
        <fgColor rgb="000F1419"/>
        <bgColor rgb="000F1419"/>
      </patternFill>
    </fill>
  </fills>
  <borders count="2">
    <border>
      <left/>
      <right/>
      <top/>
      <bottom/>
      <diagonal/>
    </border>
    <border>
      <left style="thin">
        <color rgb="002A3F4A"/>
      </left>
      <right style="thin">
        <color rgb="002A3F4A"/>
      </right>
      <top style="thin">
        <color rgb="002A3F4A"/>
      </top>
      <bottom style="thin">
        <color rgb="002A3F4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  <xf numFmtId="165" fontId="2" fillId="4" borderId="1" applyAlignment="1" pivotButton="0" quotePrefix="0" xfId="0">
      <alignment horizontal="right"/>
    </xf>
    <xf numFmtId="0" fontId="3" fillId="2" borderId="1" applyAlignment="1" pivotButton="0" quotePrefix="0" xfId="0">
      <alignment horizontal="left"/>
    </xf>
    <xf numFmtId="164" fontId="3" fillId="2" borderId="1" applyAlignment="1" pivotButton="0" quotePrefix="0" xfId="0">
      <alignment horizontal="right"/>
    </xf>
    <xf numFmtId="165" fontId="3" fillId="2" borderId="1" applyAlignment="1" pivotButton="0" quotePrefix="0" xfId="0">
      <alignment horizontal="right"/>
    </xf>
    <xf numFmtId="0" fontId="4" fillId="2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6" customWidth="1" min="4" max="4"/>
    <col width="16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Month</t>
        </is>
      </c>
      <c r="B1" s="1" t="inlineStr">
        <is>
          <t>Therms Used</t>
        </is>
      </c>
      <c r="C1" s="1" t="inlineStr">
        <is>
          <t>Service Charge</t>
        </is>
      </c>
      <c r="D1" s="1" t="inlineStr">
        <is>
          <t>Delivery Charge</t>
        </is>
      </c>
      <c r="E1" s="1" t="inlineStr">
        <is>
          <t>Balancing Charge</t>
        </is>
      </c>
      <c r="F1" s="1" t="inlineStr">
        <is>
          <t>Total Delivery</t>
        </is>
      </c>
      <c r="G1" s="1" t="inlineStr">
        <is>
          <t>Supply Charge</t>
        </is>
      </c>
      <c r="H1" s="1" t="inlineStr">
        <is>
          <t>Total Gas Cost</t>
        </is>
      </c>
    </row>
    <row r="2">
      <c r="A2" s="2" t="inlineStr">
        <is>
          <t>August 2025</t>
        </is>
      </c>
      <c r="B2" s="3" t="n">
        <v>21.953</v>
      </c>
      <c r="C2" s="4" t="n">
        <v>10</v>
      </c>
      <c r="D2" s="4" t="n">
        <v>14.66</v>
      </c>
      <c r="E2" s="4" t="n">
        <v>0</v>
      </c>
      <c r="F2" s="4" t="n">
        <v>24.66</v>
      </c>
      <c r="G2" s="4" t="n">
        <v>7.16</v>
      </c>
      <c r="H2" s="4" t="n">
        <v>31.82</v>
      </c>
    </row>
    <row r="3">
      <c r="A3" s="5" t="inlineStr">
        <is>
          <t>September 2025</t>
        </is>
      </c>
      <c r="B3" s="6" t="n">
        <v>23.043</v>
      </c>
      <c r="C3" s="7" t="n">
        <v>10</v>
      </c>
      <c r="D3" s="7" t="n">
        <v>15.36</v>
      </c>
      <c r="E3" s="7" t="n">
        <v>0.22</v>
      </c>
      <c r="F3" s="7" t="n">
        <v>25.58</v>
      </c>
      <c r="G3" s="7" t="n">
        <v>7.51</v>
      </c>
      <c r="H3" s="7" t="n">
        <v>33.09</v>
      </c>
    </row>
    <row r="4">
      <c r="A4" s="2" t="inlineStr">
        <is>
          <t>October 2025</t>
        </is>
      </c>
      <c r="B4" s="3" t="n">
        <v>43.949</v>
      </c>
      <c r="C4" s="4" t="n">
        <v>10</v>
      </c>
      <c r="D4" s="4" t="n">
        <v>29.27</v>
      </c>
      <c r="E4" s="4" t="n">
        <v>2.02</v>
      </c>
      <c r="F4" s="4" t="n">
        <v>41.29</v>
      </c>
      <c r="G4" s="4" t="n">
        <v>14.33</v>
      </c>
      <c r="H4" s="4" t="n">
        <v>55.62</v>
      </c>
    </row>
    <row r="5">
      <c r="A5" s="5" t="inlineStr">
        <is>
          <t>November 2025</t>
        </is>
      </c>
      <c r="B5" s="6" t="n">
        <v>110.919</v>
      </c>
      <c r="C5" s="7" t="n">
        <v>10</v>
      </c>
      <c r="D5" s="7" t="n">
        <v>73.87</v>
      </c>
      <c r="E5" s="7" t="n">
        <v>8.92</v>
      </c>
      <c r="F5" s="7" t="n">
        <v>92.79000000000001</v>
      </c>
      <c r="G5" s="7" t="n">
        <v>38.69</v>
      </c>
      <c r="H5" s="7" t="n">
        <v>131.48</v>
      </c>
    </row>
    <row r="6">
      <c r="A6" s="2" t="inlineStr">
        <is>
          <t>December 2025</t>
        </is>
      </c>
      <c r="B6" s="3" t="n">
        <v>140.354</v>
      </c>
      <c r="C6" s="4" t="n">
        <v>10</v>
      </c>
      <c r="D6" s="4" t="n">
        <v>93.83</v>
      </c>
      <c r="E6" s="4" t="n">
        <v>11.59</v>
      </c>
      <c r="F6" s="4" t="n">
        <v>105.42</v>
      </c>
      <c r="G6" s="4" t="n">
        <v>51</v>
      </c>
      <c r="H6" s="4" t="n">
        <v>166.42</v>
      </c>
    </row>
    <row r="7">
      <c r="A7" s="5" t="inlineStr">
        <is>
          <t>January 2026</t>
        </is>
      </c>
      <c r="B7" s="6" t="n">
        <v>134.199</v>
      </c>
      <c r="C7" s="7" t="n">
        <v>10</v>
      </c>
      <c r="D7" s="7" t="n">
        <v>89.89</v>
      </c>
      <c r="E7" s="7" t="n">
        <v>11.27</v>
      </c>
      <c r="F7" s="7" t="n">
        <v>111.16</v>
      </c>
      <c r="G7" s="7" t="n">
        <v>48.79</v>
      </c>
      <c r="H7" s="7" t="n">
        <v>159.95</v>
      </c>
    </row>
    <row r="8">
      <c r="A8" s="8" t="inlineStr">
        <is>
          <t>6-MONTH TOTAL</t>
        </is>
      </c>
      <c r="B8" s="9">
        <f>SUM(B2:B7)</f>
        <v/>
      </c>
      <c r="C8" s="10">
        <f>SUM(C2:C7)</f>
        <v/>
      </c>
      <c r="D8" s="10">
        <f>SUM(D2:D7)</f>
        <v/>
      </c>
      <c r="E8" s="10">
        <f>SUM(E2:E7)</f>
        <v/>
      </c>
      <c r="F8" s="10">
        <f>SUM(F2:F7)</f>
        <v/>
      </c>
      <c r="G8" s="10">
        <f>SUM(G2:G7)</f>
        <v/>
      </c>
      <c r="H8" s="10">
        <f>SUM(H2:H7)</f>
        <v/>
      </c>
    </row>
    <row r="9">
      <c r="A9" s="8" t="inlineStr">
        <is>
          <t>Monthly Average</t>
        </is>
      </c>
      <c r="B9" s="9">
        <f>AVERAGE(B2:B7)</f>
        <v/>
      </c>
      <c r="C9" s="10">
        <f>AVERAGE(C2:C7)</f>
        <v/>
      </c>
      <c r="D9" s="10">
        <f>AVERAGE(D2:D7)</f>
        <v/>
      </c>
      <c r="E9" s="10">
        <f>AVERAGE(E2:E7)</f>
        <v/>
      </c>
      <c r="F9" s="10">
        <f>AVERAGE(F2:F7)</f>
        <v/>
      </c>
      <c r="G9" s="10">
        <f>AVERAGE(G2:G7)</f>
        <v/>
      </c>
      <c r="H9" s="10">
        <f>AVERAGE(H2:H7)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</cols>
  <sheetData>
    <row r="1">
      <c r="A1" s="11" t="inlineStr">
        <is>
          <t>WHAT MAKES UP YOUR $578 GAS BILL?</t>
        </is>
      </c>
    </row>
    <row r="3">
      <c r="A3" s="12" t="inlineStr">
        <is>
          <t>Key Finding:</t>
        </is>
      </c>
    </row>
    <row r="4">
      <c r="A4" s="13" t="inlineStr">
        <is>
          <t>Your 6-month gas bill ($578) is for 474.4 therms of heating, split between delivery and supply costs.</t>
        </is>
      </c>
    </row>
    <row r="6">
      <c r="A6" s="14" t="inlineStr">
        <is>
          <t>Category</t>
        </is>
      </c>
      <c r="B6" s="14" t="inlineStr">
        <is>
          <t>Amount</t>
        </is>
      </c>
      <c r="C6" s="14" t="inlineStr">
        <is>
          <t>% of Total</t>
        </is>
      </c>
    </row>
    <row r="7">
      <c r="A7" t="inlineStr">
        <is>
          <t>Delivery Charges (infrastructure)</t>
        </is>
      </c>
      <c r="B7" s="15" t="n">
        <v>400.9</v>
      </c>
      <c r="C7" s="16" t="n">
        <v>69.3</v>
      </c>
    </row>
    <row r="8">
      <c r="A8" t="inlineStr">
        <is>
          <t>Supply Charges (actual gas cost)</t>
        </is>
      </c>
      <c r="B8" s="15" t="n">
        <v>167.48</v>
      </c>
      <c r="C8" s="16" t="n">
        <v>29</v>
      </c>
    </row>
    <row r="9">
      <c r="A9" t="inlineStr">
        <is>
          <t>Service Charges (monthly fee)</t>
        </is>
      </c>
      <c r="B9" s="15" t="n">
        <v>10</v>
      </c>
      <c r="C9" s="16" t="n">
        <v>1.7</v>
      </c>
    </row>
    <row r="12">
      <c r="A12" s="12" t="inlineStr">
        <is>
          <t>Why the Gas Bill Varies Seasonally:</t>
        </is>
      </c>
    </row>
    <row r="14">
      <c r="A14" s="14" t="inlineStr">
        <is>
          <t>Period</t>
        </is>
      </c>
      <c r="B14" s="14" t="inlineStr">
        <is>
          <t>Reason</t>
        </is>
      </c>
      <c r="C14" s="14" t="inlineStr">
        <is>
          <t>Therms</t>
        </is>
      </c>
      <c r="D14" s="14" t="inlineStr">
        <is>
          <t>Cost</t>
        </is>
      </c>
    </row>
    <row r="15">
      <c r="A15" t="inlineStr">
        <is>
          <t>August-September</t>
        </is>
      </c>
      <c r="B15" t="inlineStr">
        <is>
          <t>Low heating need</t>
        </is>
      </c>
      <c r="C15" t="n">
        <v>-1</v>
      </c>
      <c r="D15" t="inlineStr">
        <is>
          <t>$31-33</t>
        </is>
      </c>
    </row>
    <row r="16">
      <c r="A16" t="inlineStr">
        <is>
          <t>October</t>
        </is>
      </c>
      <c r="B16" t="inlineStr">
        <is>
          <t>Shoulder season</t>
        </is>
      </c>
      <c r="C16" t="n">
        <v>44</v>
      </c>
      <c r="D16" t="inlineStr">
        <is>
          <t>$56</t>
        </is>
      </c>
    </row>
    <row r="17">
      <c r="A17" t="inlineStr">
        <is>
          <t>November-January</t>
        </is>
      </c>
      <c r="B17" t="inlineStr">
        <is>
          <t>Peak heating season</t>
        </is>
      </c>
      <c r="C17" t="n">
        <v>-29</v>
      </c>
      <c r="D17" t="inlineStr">
        <is>
          <t>$131-166</t>
        </is>
      </c>
    </row>
    <row r="20">
      <c r="A20" s="19" t="inlineStr">
        <is>
          <t>Why Your Electricity Bill ($1,747) is Higher Than Gas ($578):</t>
        </is>
      </c>
    </row>
    <row r="22">
      <c r="A22" s="20" t="inlineStr">
        <is>
          <t>YOUR GAS USAGE (474.4 therms) covers:</t>
        </is>
      </c>
    </row>
    <row r="23">
      <c r="A23" t="inlineStr">
        <is>
          <t>• Furnace for home heating (PRIMARY heating system)</t>
        </is>
      </c>
    </row>
    <row r="24">
      <c r="A24" t="inlineStr">
        <is>
          <t>• Water heater (hot water)</t>
        </is>
      </c>
    </row>
    <row r="25">
      <c r="A25" t="inlineStr">
        <is>
          <t>• Gas stove (cooking)</t>
        </is>
      </c>
    </row>
    <row r="26">
      <c r="A26" t="inlineStr">
        <is>
          <t>• Gas dryer (laundry)</t>
        </is>
      </c>
    </row>
    <row r="27">
      <c r="A27" t="inlineStr">
        <is>
          <t>• Pool/spa equipment (if any)</t>
        </is>
      </c>
    </row>
    <row r="28">
      <c r="A28" s="17" t="inlineStr">
        <is>
          <t>YOUR ELECTRICITY USAGE ($1,747) covers:</t>
        </is>
      </c>
    </row>
    <row r="29">
      <c r="A29" s="17" t="inlineStr">
        <is>
          <t>• EV charging for two Teslas (~$67/month avg)</t>
        </is>
      </c>
    </row>
    <row r="30">
      <c r="A30" t="inlineStr">
        <is>
          <t>• Cooling (A/C when needed)</t>
        </is>
      </c>
    </row>
    <row r="31">
      <c r="A31" t="inlineStr">
        <is>
          <t>• Water heater boost (electric backup/elements)</t>
        </is>
      </c>
    </row>
    <row r="32">
      <c r="A32" t="inlineStr">
        <is>
          <t>• Lighting throughout home</t>
        </is>
      </c>
    </row>
    <row r="33">
      <c r="A33" t="inlineStr">
        <is>
          <t>• Appliances (refrigerator, washer, dishwasher, etc.)</t>
        </is>
      </c>
    </row>
    <row r="34">
      <c r="A34" s="18" t="inlineStr">
        <is>
          <t>• HVAC system operation (blower fan, controls)</t>
        </is>
      </c>
    </row>
    <row r="35">
      <c r="A35" t="inlineStr">
        <is>
          <t>• Your home has electric heating as PRIMARY (costs appear in electricity bill)</t>
        </is>
      </c>
    </row>
    <row r="36">
      <c r="A36" s="21" t="inlineStr">
        <is>
          <t>KEY INSIGHT: 6-Month Breakdown</t>
        </is>
      </c>
    </row>
    <row r="37">
      <c r="A37" t="inlineStr">
        <is>
          <t>Your $578 gas bill is for:</t>
        </is>
      </c>
    </row>
    <row r="38">
      <c r="A38" t="inlineStr">
        <is>
          <t>Heating (furnace):          ~$450-480 (summer low heating, winter peak heating)</t>
        </is>
      </c>
    </row>
    <row r="39">
      <c r="A39" t="inlineStr">
        <is>
          <t>Hot water (gas tank):       ~$80-120</t>
        </is>
      </c>
    </row>
    <row r="40">
      <c r="A40" t="inlineStr">
        <is>
          <t>Cooking &amp; drying:           ~$20-30</t>
        </is>
      </c>
    </row>
    <row r="42">
      <c r="A42" t="inlineStr">
        <is>
          <t>Your $1,747 electricity bill is for:</t>
        </is>
      </c>
    </row>
    <row r="43">
      <c r="A43" t="inlineStr">
        <is>
          <t>Base usage (lights/appliances/cooling): ~$1,280</t>
        </is>
      </c>
    </row>
    <row r="44">
      <c r="A44" t="inlineStr">
        <is>
          <t>EV charging for two Teslas:             ~$401 (about 23% of electric bill)</t>
        </is>
      </c>
    </row>
    <row r="45">
      <c r="A45" t="inlineStr">
        <is>
          <t>Overall, EV charging adds ~$67/month to your electricity bill</t>
        </is>
      </c>
    </row>
    <row r="47">
      <c r="A47" s="22" t="inlineStr">
        <is>
          <t>THE REAL STORY:</t>
        </is>
      </c>
    </row>
    <row r="48">
      <c r="A48" t="inlineStr">
        <is>
          <t>Gas is NOT unusually low - $578 for 474 therms at $1.22/therm is normal.</t>
        </is>
      </c>
    </row>
    <row r="49">
      <c r="A49" t="inlineStr">
        <is>
          <t>Electricity is higher because it includes BOTH your EV charging AND all your home electronics.</t>
        </is>
      </c>
    </row>
    <row r="50">
      <c r="A50" t="inlineStr">
        <is>
          <t>Your gas furnace is working as primary heating source, especially during Nov-Jan peak (111-140 therms/month).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2026-03-07T06:15:21Z</dcterms:created>
  <dcterms:modified xmlns:dcterms="http://purl.org/dc/terms/" xmlns:xsi="http://www.w3.org/2001/XMLSchema-instance" xsi:type="dcterms:W3CDTF">2026-03-07T06:17:30Z</dcterms:modified>
</cp:coreProperties>
</file>