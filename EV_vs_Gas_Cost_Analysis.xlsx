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Monthly Analysis" sheetId="2" state="visible" r:id="rId4"/>
    <sheet name="Summary Dashboar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<sst xmlns="http://schemas.openxmlformats.org/spreadsheetml/2006/main" count="84" uniqueCount="83">
  <si>
    <t xml:space="preserve">⚡  EV Charging vs. Gas – Key Assumptions</t>
  </si>
  <si>
    <t xml:space="preserve">Parameter</t>
  </si>
  <si>
    <t xml:space="preserve">Value</t>
  </si>
  <si>
    <t xml:space="preserve">Notes / Source</t>
  </si>
  <si>
    <t xml:space="preserve">── VEHICLE</t>
  </si>
  <si>
    <t xml:space="preserve">Tesla Model Y Year</t>
  </si>
  <si>
    <t xml:space="preserve">Both vehicles are 2023 MY</t>
  </si>
  <si>
    <t xml:space="preserve">White Tesla odometer (mi)</t>
  </si>
  <si>
    <t xml:space="preserve">As reported by Juan Perez</t>
  </si>
  <si>
    <t xml:space="preserve">Black Tesla odometer (mi)</t>
  </si>
  <si>
    <t xml:space="preserve">Combined monthly miles driven</t>
  </si>
  <si>
    <t xml:space="preserve">48,000 mi ÷ 36 months (est. purchase Jan 2023)</t>
  </si>
  <si>
    <t xml:space="preserve">── EV EFFICIENCY (miles / kWh)</t>
  </si>
  <si>
    <t xml:space="preserve">Summer efficiency (Aug–Sep)</t>
  </si>
  <si>
    <t xml:space="preserve">Tesla Model Y 2023 EPA rating; warm temps</t>
  </si>
  <si>
    <t xml:space="preserve">Fall efficiency (Oct–Nov)</t>
  </si>
  <si>
    <t xml:space="preserve">Cooler temps reduce range slightly</t>
  </si>
  <si>
    <t xml:space="preserve">Winter efficiency (Dec–Jan)</t>
  </si>
  <si>
    <t xml:space="preserve">Cold weather significantly reduces battery range</t>
  </si>
  <si>
    <t xml:space="preserve">── ELECTRICITY RATE</t>
  </si>
  <si>
    <t xml:space="preserve">Rate – Aug/Sep 2025 ($/kWh)</t>
  </si>
  <si>
    <t xml:space="preserve">PSE&amp;G standard supply ($0.18089) + delivery + taxes; Source: Arbor email Oct 3 2025</t>
  </si>
  <si>
    <t xml:space="preserve">Rate – Oct 2025 onward ($/kWh)</t>
  </si>
  <si>
    <t xml:space="preserve">Arbor secured lower supply rate $0.17462 + delivery + taxes; Source: Arbor email Oct 3 2025</t>
  </si>
  <si>
    <t xml:space="preserve">── GAS COMPARISON VEHICLE</t>
  </si>
  <si>
    <t xml:space="preserve">Comparison vehicle</t>
  </si>
  <si>
    <t xml:space="preserve">Toyota RAV4 AWD</t>
  </si>
  <si>
    <t xml:space="preserve">Closest gas SUV equivalent in class to Model Y</t>
  </si>
  <si>
    <t xml:space="preserve">Fuel economy (mpg combined)</t>
  </si>
  <si>
    <t xml:space="preserve">2023 Toyota RAV4 AWD EPA combined; Source: fueleconomy.gov</t>
  </si>
  <si>
    <t xml:space="preserve">── NJ AVERAGE GAS PRICES (regular unleaded)</t>
  </si>
  <si>
    <t xml:space="preserve">August 2025 ($/gal)</t>
  </si>
  <si>
    <t xml:space="preserve">NJ est. based on national avg $3.13; Source: BTS Motor Fuel Report Aug 2025</t>
  </si>
  <si>
    <t xml:space="preserve">September 2025 ($/gal)</t>
  </si>
  <si>
    <t xml:space="preserve">NJ est. based on national avg $3.17; Source: BTS Motor Fuel Report Sep 2025</t>
  </si>
  <si>
    <t xml:space="preserve">October 2025 ($/gal)</t>
  </si>
  <si>
    <t xml:space="preserve">NJ est. based on national avg $3.06; Source: BTS Motor Fuel Report Oct 2025</t>
  </si>
  <si>
    <t xml:space="preserve">November 2025 ($/gal)</t>
  </si>
  <si>
    <t xml:space="preserve">NJ est. based on declining trend; Source: AAA / EIA historical data</t>
  </si>
  <si>
    <t xml:space="preserve">December 2025 ($/gal)</t>
  </si>
  <si>
    <t xml:space="preserve">NJ est.; national avg $2.89, NJ slightly higher; Source: EIA</t>
  </si>
  <si>
    <t xml:space="preserve">January 2026 ($/gal)</t>
  </si>
  <si>
    <t xml:space="preserve">NY–NJ metro BLS/FRED actual; Source: FRED APUS12A74714</t>
  </si>
  <si>
    <t xml:space="preserve">Monthly EV Charging Cost vs. Gas Equivalent — Tesla Model Y (2023) | Maywood, NJ</t>
  </si>
  <si>
    <t xml:space="preserve">PSE&amp;G Bill</t>
  </si>
  <si>
    <t xml:space="preserve">⚡  EV Charging Details</t>
  </si>
  <si>
    <t xml:space="preserve">⛽  Gas Equivalent</t>
  </si>
  <si>
    <t xml:space="preserve">💰  Savings</t>
  </si>
  <si>
    <t xml:space="preserve">Month</t>
  </si>
  <si>
    <t xml:space="preserve">PSE&amp;G Total Bill
(Electric + Gas)</t>
  </si>
  <si>
    <t xml:space="preserve">EV Efficiency
(mi / kWh)</t>
  </si>
  <si>
    <t xml:space="preserve">Monthly Miles
(combined)</t>
  </si>
  <si>
    <t xml:space="preserve">kWh Used
for EVs</t>
  </si>
  <si>
    <t xml:space="preserve">Electricity Rate
($/kWh)</t>
  </si>
  <si>
    <t xml:space="preserve">EV Charging
Cost ($)</t>
  </si>
  <si>
    <t xml:space="preserve">NJ Gas Price
($/gal, regular)</t>
  </si>
  <si>
    <t xml:space="preserve">Gallons Equiv.
(2× RAV4 @30mpg)</t>
  </si>
  <si>
    <t xml:space="preserve">Gas Equiv.
Cost ($)</t>
  </si>
  <si>
    <t xml:space="preserve">Monthly
Savings ($)</t>
  </si>
  <si>
    <t xml:space="preserve">Savings
(%)</t>
  </si>
  <si>
    <t xml:space="preserve">August 2025</t>
  </si>
  <si>
    <t xml:space="preserve">September 2025</t>
  </si>
  <si>
    <t xml:space="preserve">October 2025</t>
  </si>
  <si>
    <t xml:space="preserve">November 2025</t>
  </si>
  <si>
    <t xml:space="preserve">December 2025</t>
  </si>
  <si>
    <t xml:space="preserve">January 2026</t>
  </si>
  <si>
    <t xml:space="preserve">6-MONTH TOTAL</t>
  </si>
  <si>
    <t xml:space="preserve">Monthly Average</t>
  </si>
  <si>
    <t xml:space="preserve">ℹ️  Notes: PSE&amp;G Total Bill includes BOTH electricity and natural gas (heating). EV Charging Cost reflects only the electricity cost attributable to charging both Tesla Model Y's. Gas comparison uses Toyota RAV4 AWD (closest equivalent SUV). Efficiency adjusted for seasonal temperature effects on battery range.</t>
  </si>
  <si>
    <t xml:space="preserve">⚡  Tesla Model Y Charging vs. Gas — 6-Month Savings Dashboard</t>
  </si>
  <si>
    <t xml:space="preserve">Aug 2025 – Jan 2026  |  Two 2023 Tesla Model Y's  |  Maywood, NJ  |  Compared to: Toyota RAV4 AWD (30 mpg)</t>
  </si>
  <si>
    <t xml:space="preserve">Total EV
Charging Cost</t>
  </si>
  <si>
    <t xml:space="preserve">Total Gas
Equiv. Cost</t>
  </si>
  <si>
    <t xml:space="preserve">Total
Savings (6mo)</t>
  </si>
  <si>
    <t xml:space="preserve">Avg Monthly
EV Cost</t>
  </si>
  <si>
    <t xml:space="preserve">Avg Monthly
Gas Cost</t>
  </si>
  <si>
    <t xml:space="preserve">Avg Monthly
Savings</t>
  </si>
  <si>
    <t xml:space="preserve">📅  Annualized Savings Projection</t>
  </si>
  <si>
    <t xml:space="preserve">Estimated Annual Savings</t>
  </si>
  <si>
    <t xml:space="preserve">per year (estimated)</t>
  </si>
  <si>
    <t xml:space="preserve">Lifetime Savings (8yr ownership)</t>
  </si>
  <si>
    <t xml:space="preserve">over 8 years (vs. 2 gas SUVs)</t>
  </si>
  <si>
    <t xml:space="preserve">Sources: Gmail / PSE&amp;G bill notifications | Arbor rate email (Oct 2025) | BTS Motor Fuel Price Reports | BLS/FRED NY-NJ Metro (APUS12A74714) | Tesla Model Y EPA efficiency | fueleconomy.gov</t>
  </si>
</sst>
</file>

<file path=xl/styles.xml><?xml version="1.0" encoding="utf-8"?>
<styleSheet xmlns="http://schemas.openxmlformats.org/spreadsheetml/2006/main">
  <numFmts count="8">
    <numFmt numFmtId="164" formatCode="General"/>
    <numFmt numFmtId="165" formatCode="@"/>
    <numFmt numFmtId="166" formatCode="#,##0"/>
    <numFmt numFmtId="167" formatCode="0.0"/>
    <numFmt numFmtId="168" formatCode="\$#,##0.000"/>
    <numFmt numFmtId="169" formatCode="\$#,##0.00"/>
    <numFmt numFmtId="170" formatCode="#,##0.0"/>
    <numFmt numFmtId="171" formatCode="0.0%"/>
  </numFmts>
  <fonts count="3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FFFFFF"/>
      <name val="Arial"/>
      <family val="0"/>
      <charset val="1"/>
    </font>
    <font>
      <b val="true"/>
      <sz val="10"/>
      <color rgb="FF1F4E79"/>
      <name val="Arial"/>
      <family val="0"/>
      <charset val="1"/>
    </font>
    <font>
      <sz val="10"/>
      <color rgb="FF000000"/>
      <name val="Arial"/>
      <family val="0"/>
      <charset val="1"/>
    </font>
    <font>
      <sz val="10"/>
      <color rgb="FF0000FF"/>
      <name val="Arial"/>
      <family val="0"/>
      <charset val="1"/>
    </font>
    <font>
      <i val="true"/>
      <sz val="9"/>
      <color rgb="FF595959"/>
      <name val="Arial"/>
      <family val="0"/>
      <charset val="1"/>
    </font>
    <font>
      <b val="true"/>
      <sz val="13"/>
      <color rgb="FFFFFFFF"/>
      <name val="Arial"/>
      <family val="0"/>
      <charset val="1"/>
    </font>
    <font>
      <b val="true"/>
      <sz val="10"/>
      <color rgb="FFFFFFFF"/>
      <name val="Arial"/>
      <family val="0"/>
      <charset val="1"/>
    </font>
    <font>
      <b val="true"/>
      <sz val="9"/>
      <color rgb="FFFFFFFF"/>
      <name val="Arial"/>
      <family val="0"/>
      <charset val="1"/>
    </font>
    <font>
      <b val="true"/>
      <sz val="10"/>
      <color rgb="FF000000"/>
      <name val="Arial"/>
      <family val="0"/>
      <charset val="1"/>
    </font>
    <font>
      <sz val="10"/>
      <color rgb="FF008000"/>
      <name val="Arial"/>
      <family val="0"/>
      <charset val="1"/>
    </font>
    <font>
      <b val="true"/>
      <sz val="10"/>
      <color rgb="FF1E8449"/>
      <name val="Arial"/>
      <family val="0"/>
      <charset val="1"/>
    </font>
    <font>
      <b val="true"/>
      <sz val="10"/>
      <name val="Arial"/>
      <family val="0"/>
      <charset val="1"/>
    </font>
    <font>
      <b val="true"/>
      <sz val="10"/>
      <color rgb="FF0070C0"/>
      <name val="Arial"/>
      <family val="0"/>
      <charset val="1"/>
    </font>
    <font>
      <b val="true"/>
      <sz val="10"/>
      <color rgb="FFC00000"/>
      <name val="Arial"/>
      <family val="0"/>
      <charset val="1"/>
    </font>
    <font>
      <b val="true"/>
      <i val="true"/>
      <sz val="10"/>
      <color rgb="FF000000"/>
      <name val="Arial"/>
      <family val="0"/>
      <charset val="1"/>
    </font>
    <font>
      <i val="true"/>
      <sz val="10"/>
      <color rgb="FF000000"/>
      <name val="Arial"/>
      <family val="0"/>
      <charset val="1"/>
    </font>
    <font>
      <i val="true"/>
      <sz val="10"/>
      <color rgb="FF1E8449"/>
      <name val="Arial"/>
      <family val="0"/>
      <charset val="1"/>
    </font>
    <font>
      <i val="true"/>
      <sz val="8"/>
      <color rgb="FF595959"/>
      <name val="Arial"/>
      <family val="0"/>
      <charset val="1"/>
    </font>
    <font>
      <i val="true"/>
      <sz val="10"/>
      <color rgb="FFFFFFFF"/>
      <name val="Arial"/>
      <family val="0"/>
      <charset val="1"/>
    </font>
    <font>
      <b val="true"/>
      <sz val="22"/>
      <color rgb="FF0070C0"/>
      <name val="Arial"/>
      <family val="0"/>
      <charset val="1"/>
    </font>
    <font>
      <b val="true"/>
      <sz val="22"/>
      <color rgb="FFC00000"/>
      <name val="Arial"/>
      <family val="0"/>
      <charset val="1"/>
    </font>
    <font>
      <b val="true"/>
      <sz val="22"/>
      <color rgb="FF1E8449"/>
      <name val="Arial"/>
      <family val="0"/>
      <charset val="1"/>
    </font>
    <font>
      <b val="true"/>
      <sz val="14"/>
      <color rgb="FF1E8449"/>
      <name val="Arial"/>
      <family val="0"/>
      <charset val="1"/>
    </font>
    <font>
      <i val="true"/>
      <sz val="10"/>
      <color rgb="FF595959"/>
      <name val="Arial"/>
      <family val="0"/>
      <charset val="1"/>
    </font>
    <font>
      <i val="true"/>
      <sz val="8"/>
      <color rgb="FF808080"/>
      <name val="Arial"/>
      <family val="0"/>
      <charset val="1"/>
    </font>
    <font>
      <b val="true"/>
      <sz val="18"/>
      <color rgb="FF000000"/>
      <name val="Calibri"/>
      <family val="2"/>
    </font>
    <font>
      <sz val="10"/>
      <color rgb="FF000000"/>
      <name val="Calibri"/>
      <family val="2"/>
    </font>
    <font>
      <b val="true"/>
      <sz val="10"/>
      <color rgb="FF000000"/>
      <name val="Calibri"/>
      <family val="2"/>
    </font>
  </fonts>
  <fills count="18">
    <fill>
      <patternFill patternType="none"/>
    </fill>
    <fill>
      <patternFill patternType="gray125"/>
    </fill>
    <fill>
      <patternFill patternType="solid">
        <fgColor rgb="FF1F4E79"/>
        <bgColor rgb="FF1A5276"/>
      </patternFill>
    </fill>
    <fill>
      <patternFill patternType="solid">
        <fgColor rgb="FF2E75B6"/>
        <bgColor rgb="FF0070C0"/>
      </patternFill>
    </fill>
    <fill>
      <patternFill patternType="solid">
        <fgColor rgb="FFE9F0F7"/>
        <bgColor rgb="FFEAF2F8"/>
      </patternFill>
    </fill>
    <fill>
      <patternFill patternType="solid">
        <fgColor rgb="FFF5F9FD"/>
        <bgColor rgb="FFF2F2F2"/>
      </patternFill>
    </fill>
    <fill>
      <patternFill patternType="solid">
        <fgColor rgb="FF1A5276"/>
        <bgColor rgb="FF1F4E79"/>
      </patternFill>
    </fill>
    <fill>
      <patternFill patternType="solid">
        <fgColor rgb="FF1E8449"/>
        <bgColor rgb="FF008080"/>
      </patternFill>
    </fill>
    <fill>
      <patternFill patternType="solid">
        <fgColor rgb="FFDDEEFF"/>
        <bgColor rgb="FFE9F0F7"/>
      </patternFill>
    </fill>
    <fill>
      <patternFill patternType="solid">
        <fgColor rgb="FFFDE8D8"/>
        <bgColor rgb="FFFFF2CC"/>
      </patternFill>
    </fill>
    <fill>
      <patternFill patternType="solid">
        <fgColor rgb="FFE2EFDA"/>
        <bgColor rgb="FFD5EAC8"/>
      </patternFill>
    </fill>
    <fill>
      <patternFill patternType="solid">
        <fgColor rgb="FFEAF2F8"/>
        <bgColor rgb="FFE9F0F7"/>
      </patternFill>
    </fill>
    <fill>
      <patternFill patternType="solid">
        <fgColor rgb="FFC5DFF8"/>
        <bgColor rgb="FFD9D9D9"/>
      </patternFill>
    </fill>
    <fill>
      <patternFill patternType="solid">
        <fgColor rgb="FFFAD7C2"/>
        <bgColor rgb="FFFDE8D8"/>
      </patternFill>
    </fill>
    <fill>
      <patternFill patternType="solid">
        <fgColor rgb="FFD5EAC8"/>
        <bgColor rgb="FFC6EFCE"/>
      </patternFill>
    </fill>
    <fill>
      <patternFill patternType="solid">
        <fgColor rgb="FFFFF2CC"/>
        <bgColor rgb="FFFDE8D8"/>
      </patternFill>
    </fill>
    <fill>
      <patternFill patternType="solid">
        <fgColor rgb="FFF2F2F2"/>
        <bgColor rgb="FFEAF2F8"/>
      </patternFill>
    </fill>
    <fill>
      <patternFill patternType="solid">
        <fgColor rgb="FFC6EFCE"/>
        <bgColor rgb="FFD5EAC8"/>
      </patternFill>
    </fill>
  </fills>
  <borders count="3">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B0B0B0"/>
      </left>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5" fontId="8" fillId="5" borderId="1" xfId="0" applyFont="true" applyBorder="true" applyAlignment="true" applyProtection="false">
      <alignment horizontal="righ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6" fontId="8" fillId="5" borderId="1" xfId="0" applyFont="true" applyBorder="true" applyAlignment="true" applyProtection="false">
      <alignment horizontal="right" vertical="center"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7" fontId="8" fillId="5" borderId="1" xfId="0" applyFont="true" applyBorder="true" applyAlignment="true" applyProtection="false">
      <alignment horizontal="right" vertical="center" textRotation="0" wrapText="false" indent="0" shrinkToFit="false"/>
      <protection locked="true" hidden="false"/>
    </xf>
    <xf numFmtId="168" fontId="8" fillId="0" borderId="1" xfId="0" applyFont="true" applyBorder="true" applyAlignment="true" applyProtection="false">
      <alignment horizontal="right" vertical="center" textRotation="0" wrapText="false" indent="0" shrinkToFit="false"/>
      <protection locked="true" hidden="false"/>
    </xf>
    <xf numFmtId="168" fontId="8" fillId="5" borderId="1" xfId="0" applyFont="true" applyBorder="true" applyAlignment="true" applyProtection="false">
      <alignment horizontal="right" vertical="center" textRotation="0" wrapText="false" indent="0" shrinkToFit="false"/>
      <protection locked="true" hidden="false"/>
    </xf>
    <xf numFmtId="169" fontId="8" fillId="0" borderId="1" xfId="0" applyFont="true" applyBorder="true" applyAlignment="true" applyProtection="false">
      <alignment horizontal="right" vertical="center" textRotation="0" wrapText="false" indent="0" shrinkToFit="false"/>
      <protection locked="true" hidden="false"/>
    </xf>
    <xf numFmtId="169" fontId="8" fillId="5" borderId="1" xfId="0" applyFont="true" applyBorder="true" applyAlignment="true" applyProtection="false">
      <alignment horizontal="right" vertical="center"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6" borderId="2" xfId="0" applyFont="true" applyBorder="true" applyAlignment="true" applyProtection="false">
      <alignment horizontal="center" vertical="center" textRotation="0" wrapText="true" indent="0" shrinkToFit="false"/>
      <protection locked="true" hidden="false"/>
    </xf>
    <xf numFmtId="164" fontId="11" fillId="7" borderId="2"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7" fontId="14" fillId="0" borderId="1" xfId="0" applyFont="true" applyBorder="true" applyAlignment="true" applyProtection="false">
      <alignment horizontal="right" vertical="center" textRotation="0" wrapText="false" indent="0" shrinkToFit="false"/>
      <protection locked="true" hidden="false"/>
    </xf>
    <xf numFmtId="166" fontId="14"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8" fontId="14" fillId="0" borderId="1" xfId="0" applyFont="true" applyBorder="true" applyAlignment="true" applyProtection="false">
      <alignment horizontal="right" vertical="center" textRotation="0" wrapText="false" indent="0" shrinkToFit="false"/>
      <protection locked="true" hidden="false"/>
    </xf>
    <xf numFmtId="169" fontId="7" fillId="8" borderId="1" xfId="0" applyFont="true" applyBorder="true" applyAlignment="true" applyProtection="false">
      <alignment horizontal="right" vertical="center" textRotation="0" wrapText="false" indent="0" shrinkToFit="false"/>
      <protection locked="true" hidden="false"/>
    </xf>
    <xf numFmtId="169" fontId="14" fillId="0" borderId="1" xfId="0" applyFont="true" applyBorder="true" applyAlignment="true" applyProtection="false">
      <alignment horizontal="right" vertical="center" textRotation="0" wrapText="false" indent="0" shrinkToFit="false"/>
      <protection locked="true" hidden="false"/>
    </xf>
    <xf numFmtId="170" fontId="7" fillId="0" borderId="1" xfId="0" applyFont="true" applyBorder="true" applyAlignment="true" applyProtection="false">
      <alignment horizontal="right" vertical="center" textRotation="0" wrapText="false" indent="0" shrinkToFit="false"/>
      <protection locked="true" hidden="false"/>
    </xf>
    <xf numFmtId="169" fontId="7" fillId="9" borderId="1" xfId="0" applyFont="true" applyBorder="true" applyAlignment="true" applyProtection="false">
      <alignment horizontal="right" vertical="center" textRotation="0" wrapText="false" indent="0" shrinkToFit="false"/>
      <protection locked="true" hidden="false"/>
    </xf>
    <xf numFmtId="169" fontId="15" fillId="10" borderId="1" xfId="0" applyFont="true" applyBorder="true" applyAlignment="true" applyProtection="false">
      <alignment horizontal="right" vertical="center" textRotation="0" wrapText="false" indent="0" shrinkToFit="false"/>
      <protection locked="true" hidden="false"/>
    </xf>
    <xf numFmtId="171" fontId="15" fillId="10" borderId="1" xfId="0" applyFont="true" applyBorder="true" applyAlignment="true" applyProtection="false">
      <alignment horizontal="right" vertical="center" textRotation="0" wrapText="false" indent="0" shrinkToFit="false"/>
      <protection locked="true" hidden="false"/>
    </xf>
    <xf numFmtId="164" fontId="13" fillId="11" borderId="1" xfId="0" applyFont="true" applyBorder="true" applyAlignment="true" applyProtection="false">
      <alignment horizontal="left" vertical="center" textRotation="0" wrapText="false" indent="0" shrinkToFit="false"/>
      <protection locked="true" hidden="false"/>
    </xf>
    <xf numFmtId="169" fontId="8" fillId="11" borderId="1" xfId="0" applyFont="true" applyBorder="true" applyAlignment="true" applyProtection="false">
      <alignment horizontal="right" vertical="center" textRotation="0" wrapText="false" indent="0" shrinkToFit="false"/>
      <protection locked="true" hidden="false"/>
    </xf>
    <xf numFmtId="167" fontId="14" fillId="11" borderId="1" xfId="0" applyFont="true" applyBorder="true" applyAlignment="true" applyProtection="false">
      <alignment horizontal="right" vertical="center" textRotation="0" wrapText="false" indent="0" shrinkToFit="false"/>
      <protection locked="true" hidden="false"/>
    </xf>
    <xf numFmtId="166" fontId="14" fillId="11" borderId="1" xfId="0" applyFont="true" applyBorder="true" applyAlignment="true" applyProtection="false">
      <alignment horizontal="right" vertical="center" textRotation="0" wrapText="false" indent="0" shrinkToFit="false"/>
      <protection locked="true" hidden="false"/>
    </xf>
    <xf numFmtId="166" fontId="7" fillId="11" borderId="1" xfId="0" applyFont="true" applyBorder="true" applyAlignment="true" applyProtection="false">
      <alignment horizontal="right" vertical="center" textRotation="0" wrapText="false" indent="0" shrinkToFit="false"/>
      <protection locked="true" hidden="false"/>
    </xf>
    <xf numFmtId="168" fontId="14" fillId="11" borderId="1" xfId="0" applyFont="true" applyBorder="true" applyAlignment="true" applyProtection="false">
      <alignment horizontal="right" vertical="center" textRotation="0" wrapText="false" indent="0" shrinkToFit="false"/>
      <protection locked="true" hidden="false"/>
    </xf>
    <xf numFmtId="169" fontId="7" fillId="12" borderId="1" xfId="0" applyFont="true" applyBorder="true" applyAlignment="true" applyProtection="false">
      <alignment horizontal="right" vertical="center" textRotation="0" wrapText="false" indent="0" shrinkToFit="false"/>
      <protection locked="true" hidden="false"/>
    </xf>
    <xf numFmtId="169" fontId="14" fillId="11" borderId="1" xfId="0" applyFont="true" applyBorder="true" applyAlignment="true" applyProtection="false">
      <alignment horizontal="right" vertical="center" textRotation="0" wrapText="false" indent="0" shrinkToFit="false"/>
      <protection locked="true" hidden="false"/>
    </xf>
    <xf numFmtId="170" fontId="7" fillId="11" borderId="1" xfId="0" applyFont="true" applyBorder="true" applyAlignment="true" applyProtection="false">
      <alignment horizontal="right" vertical="center" textRotation="0" wrapText="false" indent="0" shrinkToFit="false"/>
      <protection locked="true" hidden="false"/>
    </xf>
    <xf numFmtId="169" fontId="7" fillId="13" borderId="1" xfId="0" applyFont="true" applyBorder="true" applyAlignment="true" applyProtection="false">
      <alignment horizontal="right" vertical="center" textRotation="0" wrapText="false" indent="0" shrinkToFit="false"/>
      <protection locked="true" hidden="false"/>
    </xf>
    <xf numFmtId="169" fontId="15" fillId="14" borderId="1" xfId="0" applyFont="true" applyBorder="true" applyAlignment="true" applyProtection="false">
      <alignment horizontal="right" vertical="center" textRotation="0" wrapText="false" indent="0" shrinkToFit="false"/>
      <protection locked="true" hidden="false"/>
    </xf>
    <xf numFmtId="171" fontId="15" fillId="14" borderId="1" xfId="0" applyFont="true" applyBorder="true" applyAlignment="true" applyProtection="false">
      <alignment horizontal="right" vertical="center" textRotation="0" wrapText="false" indent="0" shrinkToFit="false"/>
      <protection locked="true" hidden="false"/>
    </xf>
    <xf numFmtId="164" fontId="13" fillId="15" borderId="1" xfId="0" applyFont="true" applyBorder="true" applyAlignment="true" applyProtection="false">
      <alignment horizontal="left" vertical="center" textRotation="0" wrapText="false" indent="0" shrinkToFit="false"/>
      <protection locked="true" hidden="false"/>
    </xf>
    <xf numFmtId="169" fontId="16" fillId="15" borderId="1" xfId="0" applyFont="true" applyBorder="true" applyAlignment="true" applyProtection="false">
      <alignment horizontal="right" vertical="center"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9" fontId="17" fillId="15" borderId="1" xfId="0" applyFont="true" applyBorder="true" applyAlignment="true" applyProtection="false">
      <alignment horizontal="right" vertical="center" textRotation="0" wrapText="false" indent="0" shrinkToFit="false"/>
      <protection locked="true" hidden="false"/>
    </xf>
    <xf numFmtId="169" fontId="18" fillId="15" borderId="1" xfId="0" applyFont="true" applyBorder="true" applyAlignment="true" applyProtection="false">
      <alignment horizontal="right" vertical="center" textRotation="0" wrapText="false" indent="0" shrinkToFit="false"/>
      <protection locked="true" hidden="false"/>
    </xf>
    <xf numFmtId="169" fontId="15" fillId="15" borderId="1" xfId="0" applyFont="true" applyBorder="true" applyAlignment="true" applyProtection="false">
      <alignment horizontal="right" vertical="center" textRotation="0" wrapText="false" indent="0" shrinkToFit="false"/>
      <protection locked="true" hidden="false"/>
    </xf>
    <xf numFmtId="171" fontId="15" fillId="15" borderId="1" xfId="0" applyFont="true" applyBorder="true" applyAlignment="true" applyProtection="false">
      <alignment horizontal="right" vertical="center" textRotation="0" wrapText="false" indent="0" shrinkToFit="false"/>
      <protection locked="true" hidden="false"/>
    </xf>
    <xf numFmtId="164" fontId="19" fillId="16" borderId="1" xfId="0" applyFont="true" applyBorder="true" applyAlignment="true" applyProtection="false">
      <alignment horizontal="left" vertical="center" textRotation="0" wrapText="false" indent="0" shrinkToFit="false"/>
      <protection locked="true" hidden="false"/>
    </xf>
    <xf numFmtId="169" fontId="20" fillId="16" borderId="1" xfId="0" applyFont="true" applyBorder="true" applyAlignment="true" applyProtection="false">
      <alignment horizontal="right" vertical="center"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9" fontId="21" fillId="16" borderId="1" xfId="0" applyFont="true" applyBorder="true" applyAlignment="true" applyProtection="false">
      <alignment horizontal="right" vertical="center" textRotation="0" wrapText="false" indent="0" shrinkToFit="false"/>
      <protection locked="true" hidden="false"/>
    </xf>
    <xf numFmtId="171" fontId="20" fillId="16" borderId="1" xfId="0" applyFont="true" applyBorder="true" applyAlignment="true" applyProtection="false">
      <alignment horizontal="right"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23" fillId="3" borderId="0" xfId="0" applyFont="true" applyBorder="true" applyAlignment="true" applyProtection="false">
      <alignment horizontal="center" vertical="center" textRotation="0" wrapText="false" indent="0" shrinkToFit="false"/>
      <protection locked="true" hidden="false"/>
    </xf>
    <xf numFmtId="169" fontId="24" fillId="8" borderId="1" xfId="0" applyFont="true" applyBorder="true" applyAlignment="true" applyProtection="false">
      <alignment horizontal="center" vertical="center" textRotation="0" wrapText="false" indent="0" shrinkToFit="false"/>
      <protection locked="true" hidden="false"/>
    </xf>
    <xf numFmtId="169" fontId="25" fillId="9" borderId="1" xfId="0" applyFont="true" applyBorder="true" applyAlignment="true" applyProtection="false">
      <alignment horizontal="center" vertical="center" textRotation="0" wrapText="false" indent="0" shrinkToFit="false"/>
      <protection locked="true" hidden="false"/>
    </xf>
    <xf numFmtId="169" fontId="26" fillId="10" borderId="1" xfId="0" applyFont="true" applyBorder="true" applyAlignment="true" applyProtection="false">
      <alignment horizontal="center" vertical="center" textRotation="0" wrapText="false" indent="0" shrinkToFit="false"/>
      <protection locked="true" hidden="false"/>
    </xf>
    <xf numFmtId="164" fontId="11" fillId="3" borderId="0" xfId="0" applyFont="true" applyBorder="true" applyAlignment="true" applyProtection="false">
      <alignment horizontal="center" vertical="center" textRotation="0" wrapText="true" indent="0" shrinkToFit="false"/>
      <protection locked="true" hidden="false"/>
    </xf>
    <xf numFmtId="169" fontId="24" fillId="8" borderId="0" xfId="0" applyFont="true" applyBorder="true" applyAlignment="true" applyProtection="false">
      <alignment horizontal="center" vertical="center" textRotation="0" wrapText="false" indent="0" shrinkToFit="false"/>
      <protection locked="true" hidden="false"/>
    </xf>
    <xf numFmtId="169" fontId="25" fillId="9" borderId="0" xfId="0" applyFont="true" applyBorder="true" applyAlignment="true" applyProtection="false">
      <alignment horizontal="center" vertical="center" textRotation="0" wrapText="false" indent="0" shrinkToFit="false"/>
      <protection locked="true" hidden="false"/>
    </xf>
    <xf numFmtId="169" fontId="26" fillId="10"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13" fillId="0" borderId="2" xfId="0" applyFont="true" applyBorder="true" applyAlignment="true" applyProtection="false">
      <alignment horizontal="left" vertical="center" textRotation="0" wrapText="false" indent="0" shrinkToFit="false"/>
      <protection locked="true" hidden="false"/>
    </xf>
    <xf numFmtId="169" fontId="27" fillId="10" borderId="0"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left" vertical="center" textRotation="0" wrapText="false" indent="0" shrinkToFit="false"/>
      <protection locked="true" hidden="false"/>
    </xf>
    <xf numFmtId="169" fontId="27" fillId="17" borderId="0"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2F2F2"/>
      <rgbColor rgb="FFFF00FF"/>
      <rgbColor rgb="FF00FFFF"/>
      <rgbColor rgb="FF800000"/>
      <rgbColor rgb="FF008000"/>
      <rgbColor rgb="FF000080"/>
      <rgbColor rgb="FF808000"/>
      <rgbColor rgb="FF800080"/>
      <rgbColor rgb="FF008080"/>
      <rgbColor rgb="FFB0B0B0"/>
      <rgbColor rgb="FF808080"/>
      <rgbColor rgb="FFE9F0F7"/>
      <rgbColor rgb="FF993366"/>
      <rgbColor rgb="FFFFF2CC"/>
      <rgbColor rgb="FFDDEEFF"/>
      <rgbColor rgb="FF660066"/>
      <rgbColor rgb="FFFF8080"/>
      <rgbColor rgb="FF0070C0"/>
      <rgbColor rgb="FFC5DFF8"/>
      <rgbColor rgb="FF000080"/>
      <rgbColor rgb="FFFF00FF"/>
      <rgbColor rgb="FFF5F9FD"/>
      <rgbColor rgb="FF00FFFF"/>
      <rgbColor rgb="FF800080"/>
      <rgbColor rgb="FF800000"/>
      <rgbColor rgb="FF008080"/>
      <rgbColor rgb="FF0000FF"/>
      <rgbColor rgb="FF00CCFF"/>
      <rgbColor rgb="FFEAF2F8"/>
      <rgbColor rgb="FFC6EFCE"/>
      <rgbColor rgb="FFFDE8D8"/>
      <rgbColor rgb="FFD9D9D9"/>
      <rgbColor rgb="FFE2EFDA"/>
      <rgbColor rgb="FFD5EAC8"/>
      <rgbColor rgb="FFFAD7C2"/>
      <rgbColor rgb="FF2E75B6"/>
      <rgbColor rgb="FF33CCCC"/>
      <rgbColor rgb="FF99CC00"/>
      <rgbColor rgb="FFFFCC00"/>
      <rgbColor rgb="FFFF9900"/>
      <rgbColor rgb="FFFF6600"/>
      <rgbColor rgb="FF595959"/>
      <rgbColor rgb="FF878787"/>
      <rgbColor rgb="FF1A5276"/>
      <rgbColor rgb="FF1E8449"/>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Monthly EV Charging Cost vs. Gas Equivalent</a:t>
            </a:r>
          </a:p>
        </c:rich>
      </c:tx>
      <c:overlay val="0"/>
      <c:spPr>
        <a:noFill/>
        <a:ln w="0">
          <a:noFill/>
        </a:ln>
      </c:spPr>
    </c:title>
    <c:autoTitleDeleted val="0"/>
    <c:plotArea>
      <c:barChart>
        <c:barDir val="col"/>
        <c:grouping val="clustered"/>
        <c:varyColors val="0"/>
        <c:ser>
          <c:idx val="0"/>
          <c:order val="0"/>
          <c:tx>
            <c:strRef>
              <c:f>'Monthly Analysis'!G3</c:f>
              <c:strCache>
                <c:ptCount val="1"/>
                <c:pt idx="0">
                  <c:v>EV Charging
Cost ($)</c:v>
                </c:pt>
              </c:strCache>
            </c:strRef>
          </c:tx>
          <c:spPr>
            <a:solidFill>
              <a:srgbClr val="2e75b6"/>
            </a:solidFill>
            <a:ln w="9360">
              <a:solidFill>
                <a:srgbClr val="2e75b6"/>
              </a:solidFill>
              <a:round/>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2e75b6"/>
                  </a:solidFill>
                </a:ln>
              </c:spPr>
            </c:leaderLines>
            <c:extLst>
              <c:ext xmlns:c15="http://schemas.microsoft.com/office/drawing/2012/chart" uri="{CE6537A1-D6FC-4f65-9D91-7224C49458BB}">
                <c15:showLeaderLines val="1"/>
              </c:ext>
            </c:extLst>
          </c:dLbls>
          <c:cat>
            <c:strRef>
              <c:f>'Monthly Analysis'!$A$4:$A$9</c:f>
              <c:strCache>
                <c:ptCount val="6"/>
                <c:pt idx="0">
                  <c:v>August 2025</c:v>
                </c:pt>
                <c:pt idx="1">
                  <c:v>September 2025</c:v>
                </c:pt>
                <c:pt idx="2">
                  <c:v>October 2025</c:v>
                </c:pt>
                <c:pt idx="3">
                  <c:v>November 2025</c:v>
                </c:pt>
                <c:pt idx="4">
                  <c:v>December 2025</c:v>
                </c:pt>
                <c:pt idx="5">
                  <c:v>January 2026</c:v>
                </c:pt>
              </c:strCache>
            </c:strRef>
          </c:cat>
          <c:val>
            <c:numRef>
              <c:f>'Monthly Analysis'!$G$4:$G$9</c:f>
              <c:numCache>
                <c:formatCode>\$#,##0.00</c:formatCode>
                <c:ptCount val="6"/>
                <c:pt idx="0">
                  <c:v>63.3175</c:v>
                </c:pt>
                <c:pt idx="1">
                  <c:v>63.3175</c:v>
                </c:pt>
                <c:pt idx="2">
                  <c:v>64.8960526315789</c:v>
                </c:pt>
                <c:pt idx="3">
                  <c:v>64.8960526315789</c:v>
                </c:pt>
                <c:pt idx="4">
                  <c:v>72.5308823529412</c:v>
                </c:pt>
                <c:pt idx="5">
                  <c:v>72.5308823529412</c:v>
                </c:pt>
              </c:numCache>
            </c:numRef>
          </c:val>
        </c:ser>
        <c:ser>
          <c:idx val="1"/>
          <c:order val="1"/>
          <c:tx>
            <c:strRef>
              <c:f>'Monthly Analysis'!J3</c:f>
              <c:strCache>
                <c:ptCount val="1"/>
                <c:pt idx="0">
                  <c:v>Gas Equiv.
Cost ($)</c:v>
                </c:pt>
              </c:strCache>
            </c:strRef>
          </c:tx>
          <c:spPr>
            <a:solidFill>
              <a:srgbClr val="c00000"/>
            </a:solidFill>
            <a:ln w="9360">
              <a:solidFill>
                <a:srgbClr val="c00000"/>
              </a:solidFill>
              <a:round/>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c00000"/>
                  </a:solidFill>
                </a:ln>
              </c:spPr>
            </c:leaderLines>
            <c:extLst>
              <c:ext xmlns:c15="http://schemas.microsoft.com/office/drawing/2012/chart" uri="{CE6537A1-D6FC-4f65-9D91-7224C49458BB}">
                <c15:showLeaderLines val="1"/>
              </c:ext>
            </c:extLst>
          </c:dLbls>
          <c:cat>
            <c:strRef>
              <c:f>'Monthly Analysis'!$A$4:$A$9</c:f>
              <c:strCache>
                <c:ptCount val="6"/>
                <c:pt idx="0">
                  <c:v>August 2025</c:v>
                </c:pt>
                <c:pt idx="1">
                  <c:v>September 2025</c:v>
                </c:pt>
                <c:pt idx="2">
                  <c:v>October 2025</c:v>
                </c:pt>
                <c:pt idx="3">
                  <c:v>November 2025</c:v>
                </c:pt>
                <c:pt idx="4">
                  <c:v>December 2025</c:v>
                </c:pt>
                <c:pt idx="5">
                  <c:v>January 2026</c:v>
                </c:pt>
              </c:strCache>
            </c:strRef>
          </c:cat>
          <c:val>
            <c:numRef>
              <c:f>'Monthly Analysis'!$J$4:$J$9</c:f>
              <c:numCache>
                <c:formatCode>\$#,##0.00</c:formatCode>
                <c:ptCount val="6"/>
                <c:pt idx="0">
                  <c:v>137.743333333333</c:v>
                </c:pt>
                <c:pt idx="1">
                  <c:v>139.965</c:v>
                </c:pt>
                <c:pt idx="2">
                  <c:v>134.188666666667</c:v>
                </c:pt>
                <c:pt idx="3">
                  <c:v>132.855666666667</c:v>
                </c:pt>
                <c:pt idx="4">
                  <c:v>131.522666666667</c:v>
                </c:pt>
                <c:pt idx="5">
                  <c:v>130.189666666667</c:v>
                </c:pt>
              </c:numCache>
            </c:numRef>
          </c:val>
        </c:ser>
        <c:gapWidth val="150"/>
        <c:overlap val="0"/>
        <c:axId val="86796508"/>
        <c:axId val="24168377"/>
      </c:barChart>
      <c:catAx>
        <c:axId val="86796508"/>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4168377"/>
        <c:crosses val="autoZero"/>
        <c:auto val="1"/>
        <c:lblAlgn val="ctr"/>
        <c:lblOffset val="100"/>
        <c:noMultiLvlLbl val="0"/>
      </c:catAx>
      <c:valAx>
        <c:axId val="24168377"/>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Cost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6796508"/>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Monthly Savings: EV vs. Gas</a:t>
            </a:r>
          </a:p>
        </c:rich>
      </c:tx>
      <c:overlay val="0"/>
      <c:spPr>
        <a:noFill/>
        <a:ln w="0">
          <a:noFill/>
        </a:ln>
      </c:spPr>
    </c:title>
    <c:autoTitleDeleted val="0"/>
    <c:plotArea>
      <c:lineChart>
        <c:grouping val="standard"/>
        <c:varyColors val="0"/>
        <c:ser>
          <c:idx val="0"/>
          <c:order val="0"/>
          <c:tx>
            <c:strRef>
              <c:f>'Monthly Analysis'!K3</c:f>
              <c:strCache>
                <c:ptCount val="1"/>
                <c:pt idx="0">
                  <c:v>Monthly
Savings ($)</c:v>
                </c:pt>
              </c:strCache>
            </c:strRef>
          </c:tx>
          <c:spPr>
            <a:solidFill>
              <a:srgbClr val="1e8449"/>
            </a:solidFill>
            <a:ln w="24840">
              <a:solidFill>
                <a:srgbClr val="1e8449"/>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4840">
                  <a:solidFill>
                    <a:srgbClr val="000000"/>
                  </a:solidFill>
                </a:ln>
              </c:spPr>
            </c:leaderLines>
            <c:extLst>
              <c:ext xmlns:c15="http://schemas.microsoft.com/office/drawing/2012/chart" uri="{CE6537A1-D6FC-4f65-9D91-7224C49458BB}">
                <c15:showLeaderLines val="1"/>
              </c:ext>
            </c:extLst>
          </c:dLbls>
          <c:cat>
            <c:strRef>
              <c:f>'Monthly Analysis'!$A$4:$A$9</c:f>
              <c:strCache>
                <c:ptCount val="6"/>
                <c:pt idx="0">
                  <c:v>August 2025</c:v>
                </c:pt>
                <c:pt idx="1">
                  <c:v>September 2025</c:v>
                </c:pt>
                <c:pt idx="2">
                  <c:v>October 2025</c:v>
                </c:pt>
                <c:pt idx="3">
                  <c:v>November 2025</c:v>
                </c:pt>
                <c:pt idx="4">
                  <c:v>December 2025</c:v>
                </c:pt>
                <c:pt idx="5">
                  <c:v>January 2026</c:v>
                </c:pt>
              </c:strCache>
            </c:strRef>
          </c:cat>
          <c:val>
            <c:numRef>
              <c:f>'Monthly Analysis'!$K$4:$K$9</c:f>
              <c:numCache>
                <c:formatCode>\$#,##0.00</c:formatCode>
                <c:ptCount val="6"/>
                <c:pt idx="0">
                  <c:v>74.4258333333333</c:v>
                </c:pt>
                <c:pt idx="1">
                  <c:v>76.6475</c:v>
                </c:pt>
                <c:pt idx="2">
                  <c:v>69.2926140350877</c:v>
                </c:pt>
                <c:pt idx="3">
                  <c:v>67.9596140350877</c:v>
                </c:pt>
                <c:pt idx="4">
                  <c:v>58.9917843137255</c:v>
                </c:pt>
                <c:pt idx="5">
                  <c:v>57.6587843137255</c:v>
                </c:pt>
              </c:numCache>
            </c:numRef>
          </c:val>
          <c:smooth val="1"/>
        </c:ser>
        <c:hiLowLines>
          <c:spPr>
            <a:ln w="0">
              <a:noFill/>
            </a:ln>
          </c:spPr>
        </c:hiLowLines>
        <c:marker val="0"/>
        <c:axId val="68354180"/>
        <c:axId val="62000755"/>
      </c:lineChart>
      <c:catAx>
        <c:axId val="68354180"/>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2000755"/>
        <c:crosses val="autoZero"/>
        <c:auto val="1"/>
        <c:lblAlgn val="ctr"/>
        <c:lblOffset val="100"/>
        <c:noMultiLvlLbl val="0"/>
      </c:catAx>
      <c:valAx>
        <c:axId val="62000755"/>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Savings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8354180"/>
        <c:crosses val="autoZero"/>
        <c:crossBetween val="between"/>
      </c:valAx>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17</xdr:row>
      <xdr:rowOff>0</xdr:rowOff>
    </xdr:from>
    <xdr:to>
      <xdr:col>6</xdr:col>
      <xdr:colOff>715320</xdr:colOff>
      <xdr:row>39</xdr:row>
      <xdr:rowOff>128880</xdr:rowOff>
    </xdr:to>
    <xdr:graphicFrame>
      <xdr:nvGraphicFramePr>
        <xdr:cNvPr id="0" name="Chart 1"/>
        <xdr:cNvGraphicFramePr/>
      </xdr:nvGraphicFramePr>
      <xdr:xfrm>
        <a:off x="141120" y="4962600"/>
        <a:ext cx="71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35</xdr:row>
      <xdr:rowOff>0</xdr:rowOff>
    </xdr:from>
    <xdr:to>
      <xdr:col>6</xdr:col>
      <xdr:colOff>715320</xdr:colOff>
      <xdr:row>53</xdr:row>
      <xdr:rowOff>170640</xdr:rowOff>
    </xdr:to>
    <xdr:graphicFrame>
      <xdr:nvGraphicFramePr>
        <xdr:cNvPr id="1" name="Chart 2"/>
        <xdr:cNvGraphicFramePr/>
      </xdr:nvGraphicFramePr>
      <xdr:xfrm>
        <a:off x="141120" y="8391600"/>
        <a:ext cx="719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6"/>
    <col collapsed="false" customWidth="true" hidden="false" outlineLevel="0" max="2" min="2" style="0" width="18"/>
    <col collapsed="false" customWidth="true" hidden="false" outlineLevel="0" max="3" min="3" style="0" width="40"/>
  </cols>
  <sheetData>
    <row r="1" customFormat="false" ht="30" hidden="false" customHeight="true" outlineLevel="0" collapsed="false">
      <c r="A1" s="1" t="s">
        <v>0</v>
      </c>
      <c r="B1" s="1"/>
      <c r="C1" s="1"/>
    </row>
    <row r="2" customFormat="false" ht="19.5" hidden="false" customHeight="true" outlineLevel="0" collapsed="false">
      <c r="A2" s="2" t="s">
        <v>1</v>
      </c>
      <c r="B2" s="2" t="s">
        <v>2</v>
      </c>
      <c r="C2" s="2" t="s">
        <v>3</v>
      </c>
    </row>
    <row r="3" customFormat="false" ht="18" hidden="false" customHeight="true" outlineLevel="0" collapsed="false">
      <c r="A3" s="3" t="s">
        <v>4</v>
      </c>
      <c r="B3" s="4"/>
      <c r="C3" s="4"/>
    </row>
    <row r="4" customFormat="false" ht="18" hidden="false" customHeight="true" outlineLevel="0" collapsed="false">
      <c r="A4" s="5" t="s">
        <v>5</v>
      </c>
      <c r="B4" s="6" t="n">
        <v>2023</v>
      </c>
      <c r="C4" s="7" t="s">
        <v>6</v>
      </c>
    </row>
    <row r="5" customFormat="false" ht="18" hidden="false" customHeight="true" outlineLevel="0" collapsed="false">
      <c r="A5" s="8" t="s">
        <v>7</v>
      </c>
      <c r="B5" s="9" t="n">
        <v>27000</v>
      </c>
      <c r="C5" s="10" t="s">
        <v>8</v>
      </c>
    </row>
    <row r="6" customFormat="false" ht="18" hidden="false" customHeight="true" outlineLevel="0" collapsed="false">
      <c r="A6" s="5" t="s">
        <v>9</v>
      </c>
      <c r="B6" s="11" t="n">
        <v>21000</v>
      </c>
      <c r="C6" s="7" t="s">
        <v>8</v>
      </c>
    </row>
    <row r="7" customFormat="false" ht="18" hidden="false" customHeight="true" outlineLevel="0" collapsed="false">
      <c r="A7" s="8" t="s">
        <v>10</v>
      </c>
      <c r="B7" s="9" t="n">
        <v>1333</v>
      </c>
      <c r="C7" s="10" t="s">
        <v>11</v>
      </c>
    </row>
    <row r="8" customFormat="false" ht="18" hidden="false" customHeight="true" outlineLevel="0" collapsed="false">
      <c r="A8" s="3" t="s">
        <v>12</v>
      </c>
      <c r="B8" s="4"/>
      <c r="C8" s="4"/>
    </row>
    <row r="9" customFormat="false" ht="18" hidden="false" customHeight="true" outlineLevel="0" collapsed="false">
      <c r="A9" s="8" t="s">
        <v>13</v>
      </c>
      <c r="B9" s="12" t="n">
        <v>4</v>
      </c>
      <c r="C9" s="10" t="s">
        <v>14</v>
      </c>
    </row>
    <row r="10" customFormat="false" ht="18" hidden="false" customHeight="true" outlineLevel="0" collapsed="false">
      <c r="A10" s="5" t="s">
        <v>15</v>
      </c>
      <c r="B10" s="13" t="n">
        <v>3.8</v>
      </c>
      <c r="C10" s="7" t="s">
        <v>16</v>
      </c>
    </row>
    <row r="11" customFormat="false" ht="18" hidden="false" customHeight="true" outlineLevel="0" collapsed="false">
      <c r="A11" s="8" t="s">
        <v>17</v>
      </c>
      <c r="B11" s="12" t="n">
        <v>3.4</v>
      </c>
      <c r="C11" s="10" t="s">
        <v>18</v>
      </c>
    </row>
    <row r="12" customFormat="false" ht="18" hidden="false" customHeight="true" outlineLevel="0" collapsed="false">
      <c r="A12" s="3" t="s">
        <v>19</v>
      </c>
      <c r="B12" s="4"/>
      <c r="C12" s="4"/>
    </row>
    <row r="13" customFormat="false" ht="18" hidden="false" customHeight="true" outlineLevel="0" collapsed="false">
      <c r="A13" s="8" t="s">
        <v>20</v>
      </c>
      <c r="B13" s="14" t="n">
        <v>0.19</v>
      </c>
      <c r="C13" s="10" t="s">
        <v>21</v>
      </c>
    </row>
    <row r="14" customFormat="false" ht="18" hidden="false" customHeight="true" outlineLevel="0" collapsed="false">
      <c r="A14" s="5" t="s">
        <v>22</v>
      </c>
      <c r="B14" s="15" t="n">
        <v>0.185</v>
      </c>
      <c r="C14" s="7" t="s">
        <v>23</v>
      </c>
    </row>
    <row r="15" customFormat="false" ht="18" hidden="false" customHeight="true" outlineLevel="0" collapsed="false">
      <c r="A15" s="3" t="s">
        <v>24</v>
      </c>
      <c r="B15" s="4"/>
      <c r="C15" s="4"/>
    </row>
    <row r="16" customFormat="false" ht="18" hidden="false" customHeight="true" outlineLevel="0" collapsed="false">
      <c r="A16" s="5" t="s">
        <v>25</v>
      </c>
      <c r="B16" s="6" t="s">
        <v>26</v>
      </c>
      <c r="C16" s="7" t="s">
        <v>27</v>
      </c>
    </row>
    <row r="17" customFormat="false" ht="18" hidden="false" customHeight="true" outlineLevel="0" collapsed="false">
      <c r="A17" s="8" t="s">
        <v>28</v>
      </c>
      <c r="B17" s="9" t="n">
        <v>30</v>
      </c>
      <c r="C17" s="10" t="s">
        <v>29</v>
      </c>
    </row>
    <row r="18" customFormat="false" ht="18" hidden="false" customHeight="true" outlineLevel="0" collapsed="false">
      <c r="A18" s="3" t="s">
        <v>30</v>
      </c>
      <c r="B18" s="4"/>
      <c r="C18" s="4"/>
    </row>
    <row r="19" customFormat="false" ht="18" hidden="false" customHeight="true" outlineLevel="0" collapsed="false">
      <c r="A19" s="8" t="s">
        <v>31</v>
      </c>
      <c r="B19" s="16" t="n">
        <v>3.1</v>
      </c>
      <c r="C19" s="10" t="s">
        <v>32</v>
      </c>
    </row>
    <row r="20" customFormat="false" ht="18" hidden="false" customHeight="true" outlineLevel="0" collapsed="false">
      <c r="A20" s="5" t="s">
        <v>33</v>
      </c>
      <c r="B20" s="17" t="n">
        <v>3.15</v>
      </c>
      <c r="C20" s="7" t="s">
        <v>34</v>
      </c>
    </row>
    <row r="21" customFormat="false" ht="18" hidden="false" customHeight="true" outlineLevel="0" collapsed="false">
      <c r="A21" s="8" t="s">
        <v>35</v>
      </c>
      <c r="B21" s="16" t="n">
        <v>3.02</v>
      </c>
      <c r="C21" s="10" t="s">
        <v>36</v>
      </c>
    </row>
    <row r="22" customFormat="false" ht="18" hidden="false" customHeight="true" outlineLevel="0" collapsed="false">
      <c r="A22" s="5" t="s">
        <v>37</v>
      </c>
      <c r="B22" s="17" t="n">
        <v>2.99</v>
      </c>
      <c r="C22" s="7" t="s">
        <v>38</v>
      </c>
    </row>
    <row r="23" customFormat="false" ht="18" hidden="false" customHeight="true" outlineLevel="0" collapsed="false">
      <c r="A23" s="8" t="s">
        <v>39</v>
      </c>
      <c r="B23" s="16" t="n">
        <v>2.96</v>
      </c>
      <c r="C23" s="10" t="s">
        <v>40</v>
      </c>
    </row>
    <row r="24" customFormat="false" ht="18" hidden="false" customHeight="true" outlineLevel="0" collapsed="false">
      <c r="A24" s="5" t="s">
        <v>41</v>
      </c>
      <c r="B24" s="17" t="n">
        <v>2.93</v>
      </c>
      <c r="C24" s="7" t="s">
        <v>42</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6" min="3" style="0" width="14"/>
    <col collapsed="false" customWidth="true" hidden="false" outlineLevel="0" max="7" min="7" style="0" width="16"/>
    <col collapsed="false" customWidth="true" hidden="false" outlineLevel="0" max="8" min="8" style="0" width="14"/>
    <col collapsed="false" customWidth="true" hidden="false" outlineLevel="0" max="12" min="9" style="0" width="16"/>
  </cols>
  <sheetData>
    <row r="1" customFormat="false" ht="27.75" hidden="false" customHeight="true" outlineLevel="0" collapsed="false">
      <c r="A1" s="18" t="s">
        <v>43</v>
      </c>
      <c r="B1" s="18"/>
      <c r="C1" s="18"/>
      <c r="D1" s="18"/>
      <c r="E1" s="18"/>
      <c r="F1" s="18"/>
      <c r="G1" s="18"/>
      <c r="H1" s="18"/>
      <c r="I1" s="18"/>
      <c r="J1" s="18"/>
      <c r="K1" s="18"/>
      <c r="L1" s="18"/>
    </row>
    <row r="2" customFormat="false" ht="19.5" hidden="false" customHeight="true" outlineLevel="0" collapsed="false">
      <c r="A2" s="19"/>
      <c r="B2" s="19" t="s">
        <v>44</v>
      </c>
      <c r="C2" s="20" t="s">
        <v>45</v>
      </c>
      <c r="D2" s="20"/>
      <c r="E2" s="20"/>
      <c r="F2" s="20"/>
      <c r="G2" s="19"/>
      <c r="H2" s="20" t="s">
        <v>46</v>
      </c>
      <c r="I2" s="20"/>
      <c r="J2" s="20"/>
      <c r="K2" s="21" t="s">
        <v>47</v>
      </c>
      <c r="L2" s="21"/>
    </row>
    <row r="3" customFormat="false" ht="36" hidden="false" customHeight="true" outlineLevel="0" collapsed="false">
      <c r="A3" s="22" t="s">
        <v>48</v>
      </c>
      <c r="B3" s="22" t="s">
        <v>49</v>
      </c>
      <c r="C3" s="22" t="s">
        <v>50</v>
      </c>
      <c r="D3" s="22" t="s">
        <v>51</v>
      </c>
      <c r="E3" s="22" t="s">
        <v>52</v>
      </c>
      <c r="F3" s="22" t="s">
        <v>53</v>
      </c>
      <c r="G3" s="22" t="s">
        <v>54</v>
      </c>
      <c r="H3" s="22" t="s">
        <v>55</v>
      </c>
      <c r="I3" s="22" t="s">
        <v>56</v>
      </c>
      <c r="J3" s="22" t="s">
        <v>57</v>
      </c>
      <c r="K3" s="22" t="s">
        <v>58</v>
      </c>
      <c r="L3" s="22" t="s">
        <v>59</v>
      </c>
    </row>
    <row r="4" customFormat="false" ht="19.5" hidden="false" customHeight="true" outlineLevel="0" collapsed="false">
      <c r="A4" s="23" t="s">
        <v>60</v>
      </c>
      <c r="B4" s="16" t="n">
        <v>492.76</v>
      </c>
      <c r="C4" s="24" t="n">
        <f aca="false">Assumptions!B9</f>
        <v>4</v>
      </c>
      <c r="D4" s="25" t="n">
        <f aca="false">Assumptions!B7</f>
        <v>1333</v>
      </c>
      <c r="E4" s="26" t="n">
        <f aca="false">D4/C4</f>
        <v>333.25</v>
      </c>
      <c r="F4" s="27" t="n">
        <f aca="false">Assumptions!B13</f>
        <v>0.19</v>
      </c>
      <c r="G4" s="28" t="n">
        <f aca="false">E4*F4</f>
        <v>63.3175</v>
      </c>
      <c r="H4" s="29" t="n">
        <f aca="false">Assumptions!B19</f>
        <v>3.1</v>
      </c>
      <c r="I4" s="30" t="n">
        <f aca="false">D4/Assumptions!B17</f>
        <v>44.4333333333333</v>
      </c>
      <c r="J4" s="31" t="n">
        <f aca="false">I4*H4</f>
        <v>137.743333333333</v>
      </c>
      <c r="K4" s="32" t="n">
        <f aca="false">J4-G4</f>
        <v>74.4258333333333</v>
      </c>
      <c r="L4" s="33" t="n">
        <f aca="false">IF(J4&gt;0,K4/J4,0)</f>
        <v>0.540322580645161</v>
      </c>
    </row>
    <row r="5" customFormat="false" ht="19.5" hidden="false" customHeight="true" outlineLevel="0" collapsed="false">
      <c r="A5" s="34" t="s">
        <v>61</v>
      </c>
      <c r="B5" s="35" t="n">
        <v>253.53</v>
      </c>
      <c r="C5" s="36" t="n">
        <f aca="false">Assumptions!B9</f>
        <v>4</v>
      </c>
      <c r="D5" s="37" t="n">
        <f aca="false">Assumptions!B7</f>
        <v>1333</v>
      </c>
      <c r="E5" s="38" t="n">
        <f aca="false">D5/C5</f>
        <v>333.25</v>
      </c>
      <c r="F5" s="39" t="n">
        <f aca="false">Assumptions!B13</f>
        <v>0.19</v>
      </c>
      <c r="G5" s="40" t="n">
        <f aca="false">E5*F5</f>
        <v>63.3175</v>
      </c>
      <c r="H5" s="41" t="n">
        <f aca="false">Assumptions!B20</f>
        <v>3.15</v>
      </c>
      <c r="I5" s="42" t="n">
        <f aca="false">D5/Assumptions!B17</f>
        <v>44.4333333333333</v>
      </c>
      <c r="J5" s="43" t="n">
        <f aca="false">I5*H5</f>
        <v>139.965</v>
      </c>
      <c r="K5" s="44" t="n">
        <f aca="false">J5-G5</f>
        <v>76.6475</v>
      </c>
      <c r="L5" s="45" t="n">
        <f aca="false">IF(J5&gt;0,K5/J5,0)</f>
        <v>0.547619047619048</v>
      </c>
    </row>
    <row r="6" customFormat="false" ht="19.5" hidden="false" customHeight="true" outlineLevel="0" collapsed="false">
      <c r="A6" s="23" t="s">
        <v>62</v>
      </c>
      <c r="B6" s="16" t="n">
        <v>310.43</v>
      </c>
      <c r="C6" s="24" t="n">
        <f aca="false">Assumptions!B10</f>
        <v>3.8</v>
      </c>
      <c r="D6" s="25" t="n">
        <f aca="false">Assumptions!B7</f>
        <v>1333</v>
      </c>
      <c r="E6" s="26" t="n">
        <f aca="false">D6/C6</f>
        <v>350.789473684211</v>
      </c>
      <c r="F6" s="27" t="n">
        <f aca="false">Assumptions!B14</f>
        <v>0.185</v>
      </c>
      <c r="G6" s="28" t="n">
        <f aca="false">E6*F6</f>
        <v>64.8960526315789</v>
      </c>
      <c r="H6" s="29" t="n">
        <f aca="false">Assumptions!B21</f>
        <v>3.02</v>
      </c>
      <c r="I6" s="30" t="n">
        <f aca="false">D6/Assumptions!B17</f>
        <v>44.4333333333333</v>
      </c>
      <c r="J6" s="31" t="n">
        <f aca="false">I6*H6</f>
        <v>134.188666666667</v>
      </c>
      <c r="K6" s="32" t="n">
        <f aca="false">J6-G6</f>
        <v>69.2926140350877</v>
      </c>
      <c r="L6" s="33" t="n">
        <f aca="false">IF(J6&gt;0,K6/J6,0)</f>
        <v>0.516382014639247</v>
      </c>
    </row>
    <row r="7" customFormat="false" ht="19.5" hidden="false" customHeight="true" outlineLevel="0" collapsed="false">
      <c r="A7" s="34" t="s">
        <v>63</v>
      </c>
      <c r="B7" s="35" t="n">
        <v>496.4</v>
      </c>
      <c r="C7" s="36" t="n">
        <f aca="false">Assumptions!B10</f>
        <v>3.8</v>
      </c>
      <c r="D7" s="37" t="n">
        <f aca="false">Assumptions!B7</f>
        <v>1333</v>
      </c>
      <c r="E7" s="38" t="n">
        <f aca="false">D7/C7</f>
        <v>350.789473684211</v>
      </c>
      <c r="F7" s="39" t="n">
        <f aca="false">Assumptions!B14</f>
        <v>0.185</v>
      </c>
      <c r="G7" s="40" t="n">
        <f aca="false">E7*F7</f>
        <v>64.8960526315789</v>
      </c>
      <c r="H7" s="41" t="n">
        <f aca="false">Assumptions!B22</f>
        <v>2.99</v>
      </c>
      <c r="I7" s="42" t="n">
        <f aca="false">D7/Assumptions!B17</f>
        <v>44.4333333333333</v>
      </c>
      <c r="J7" s="43" t="n">
        <f aca="false">I7*H7</f>
        <v>132.855666666667</v>
      </c>
      <c r="K7" s="44" t="n">
        <f aca="false">J7-G7</f>
        <v>67.9596140350877</v>
      </c>
      <c r="L7" s="45" t="n">
        <f aca="false">IF(J7&gt;0,K7/J7,0)</f>
        <v>0.511529660271079</v>
      </c>
    </row>
    <row r="8" customFormat="false" ht="19.5" hidden="false" customHeight="true" outlineLevel="0" collapsed="false">
      <c r="A8" s="23" t="s">
        <v>64</v>
      </c>
      <c r="B8" s="16" t="n">
        <v>598.04</v>
      </c>
      <c r="C8" s="24" t="n">
        <f aca="false">Assumptions!B11</f>
        <v>3.4</v>
      </c>
      <c r="D8" s="25" t="n">
        <f aca="false">Assumptions!B7</f>
        <v>1333</v>
      </c>
      <c r="E8" s="26" t="n">
        <f aca="false">D8/C8</f>
        <v>392.058823529412</v>
      </c>
      <c r="F8" s="27" t="n">
        <f aca="false">Assumptions!B14</f>
        <v>0.185</v>
      </c>
      <c r="G8" s="28" t="n">
        <f aca="false">E8*F8</f>
        <v>72.5308823529412</v>
      </c>
      <c r="H8" s="29" t="n">
        <f aca="false">Assumptions!B23</f>
        <v>2.96</v>
      </c>
      <c r="I8" s="30" t="n">
        <f aca="false">D8/Assumptions!B17</f>
        <v>44.4333333333333</v>
      </c>
      <c r="J8" s="31" t="n">
        <f aca="false">I8*H8</f>
        <v>131.522666666667</v>
      </c>
      <c r="K8" s="32" t="n">
        <f aca="false">J8-G8</f>
        <v>58.9917843137255</v>
      </c>
      <c r="L8" s="33" t="n">
        <f aca="false">IF(J8&gt;0,K8/J8,0)</f>
        <v>0.448529411764706</v>
      </c>
    </row>
    <row r="9" customFormat="false" ht="19.5" hidden="false" customHeight="true" outlineLevel="0" collapsed="false">
      <c r="A9" s="34" t="s">
        <v>65</v>
      </c>
      <c r="B9" s="35" t="n">
        <v>714.72</v>
      </c>
      <c r="C9" s="36" t="n">
        <f aca="false">Assumptions!B11</f>
        <v>3.4</v>
      </c>
      <c r="D9" s="37" t="n">
        <f aca="false">Assumptions!B7</f>
        <v>1333</v>
      </c>
      <c r="E9" s="38" t="n">
        <f aca="false">D9/C9</f>
        <v>392.058823529412</v>
      </c>
      <c r="F9" s="39" t="n">
        <f aca="false">Assumptions!B14</f>
        <v>0.185</v>
      </c>
      <c r="G9" s="40" t="n">
        <f aca="false">E9*F9</f>
        <v>72.5308823529412</v>
      </c>
      <c r="H9" s="41" t="n">
        <f aca="false">Assumptions!B24</f>
        <v>2.93</v>
      </c>
      <c r="I9" s="42" t="n">
        <f aca="false">D9/Assumptions!B17</f>
        <v>44.4333333333333</v>
      </c>
      <c r="J9" s="43" t="n">
        <f aca="false">I9*H9</f>
        <v>130.189666666667</v>
      </c>
      <c r="K9" s="44" t="n">
        <f aca="false">J9-G9</f>
        <v>57.6587843137255</v>
      </c>
      <c r="L9" s="45" t="n">
        <f aca="false">IF(J9&gt;0,K9/J9,0)</f>
        <v>0.442882955229874</v>
      </c>
    </row>
    <row r="10" customFormat="false" ht="21.75" hidden="false" customHeight="true" outlineLevel="0" collapsed="false">
      <c r="A10" s="46" t="s">
        <v>66</v>
      </c>
      <c r="B10" s="47" t="n">
        <f aca="false">SUM(B4:B9)</f>
        <v>2865.88</v>
      </c>
      <c r="C10" s="48"/>
      <c r="D10" s="48"/>
      <c r="E10" s="48"/>
      <c r="F10" s="48"/>
      <c r="G10" s="49" t="n">
        <f aca="false">SUM(G4:G9)</f>
        <v>401.48886996904</v>
      </c>
      <c r="H10" s="48"/>
      <c r="I10" s="48"/>
      <c r="J10" s="50" t="n">
        <f aca="false">SUM(J4:J9)</f>
        <v>806.465</v>
      </c>
      <c r="K10" s="51" t="n">
        <f aca="false">SUM(K4:K9)</f>
        <v>404.97613003096</v>
      </c>
      <c r="L10" s="52" t="n">
        <f aca="false">K10/J10</f>
        <v>0.502162065348105</v>
      </c>
    </row>
    <row r="11" customFormat="false" ht="19.5" hidden="false" customHeight="true" outlineLevel="0" collapsed="false">
      <c r="A11" s="53" t="s">
        <v>67</v>
      </c>
      <c r="B11" s="54" t="n">
        <f aca="false">AVERAGE(B4:B9)</f>
        <v>477.646666666667</v>
      </c>
      <c r="C11" s="55"/>
      <c r="D11" s="55"/>
      <c r="E11" s="55"/>
      <c r="F11" s="55"/>
      <c r="G11" s="54" t="n">
        <f aca="false">AVERAGE(G4:G9)</f>
        <v>66.9148116615067</v>
      </c>
      <c r="H11" s="55"/>
      <c r="I11" s="55"/>
      <c r="J11" s="54" t="n">
        <f aca="false">AVERAGE(J4:J9)</f>
        <v>134.410833333333</v>
      </c>
      <c r="K11" s="56" t="n">
        <f aca="false">AVERAGE(K4:K9)</f>
        <v>67.4960216718266</v>
      </c>
      <c r="L11" s="57" t="n">
        <f aca="false">AVERAGE(L4:L9)</f>
        <v>0.501210945028186</v>
      </c>
    </row>
    <row r="13" customFormat="false" ht="39.75" hidden="false" customHeight="true" outlineLevel="0" collapsed="false">
      <c r="A13" s="58" t="s">
        <v>68</v>
      </c>
      <c r="B13" s="58"/>
      <c r="C13" s="58"/>
      <c r="D13" s="58"/>
      <c r="E13" s="58"/>
      <c r="F13" s="58"/>
      <c r="G13" s="58"/>
      <c r="H13" s="58"/>
      <c r="I13" s="58"/>
      <c r="J13" s="58"/>
      <c r="K13" s="58"/>
      <c r="L13" s="58"/>
    </row>
  </sheetData>
  <mergeCells count="5">
    <mergeCell ref="A1:L1"/>
    <mergeCell ref="C2:F2"/>
    <mergeCell ref="H2:J2"/>
    <mergeCell ref="K2:L2"/>
    <mergeCell ref="A13:L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7" min="3" style="0" width="18"/>
    <col collapsed="false" customWidth="true" hidden="false" outlineLevel="0" max="8" min="8" style="0" width="2"/>
  </cols>
  <sheetData>
    <row r="1" customFormat="false" ht="31.5" hidden="false" customHeight="true" outlineLevel="0" collapsed="false">
      <c r="A1" s="1" t="s">
        <v>69</v>
      </c>
      <c r="B1" s="1"/>
      <c r="C1" s="1"/>
      <c r="D1" s="1"/>
      <c r="E1" s="1"/>
      <c r="F1" s="1"/>
      <c r="G1" s="1"/>
      <c r="H1" s="1"/>
    </row>
    <row r="2" customFormat="false" ht="18" hidden="false" customHeight="true" outlineLevel="0" collapsed="false">
      <c r="A2" s="59" t="s">
        <v>70</v>
      </c>
      <c r="B2" s="59"/>
      <c r="C2" s="59"/>
      <c r="D2" s="59"/>
      <c r="E2" s="59"/>
      <c r="F2" s="59"/>
      <c r="G2" s="59"/>
      <c r="H2" s="59"/>
    </row>
    <row r="3" customFormat="false" ht="12" hidden="false" customHeight="true" outlineLevel="0" collapsed="false"/>
    <row r="4" customFormat="false" ht="27.75" hidden="false" customHeight="true" outlineLevel="0" collapsed="false">
      <c r="B4" s="19" t="s">
        <v>71</v>
      </c>
      <c r="C4" s="19"/>
      <c r="D4" s="19" t="s">
        <v>72</v>
      </c>
      <c r="E4" s="19"/>
      <c r="F4" s="19" t="s">
        <v>73</v>
      </c>
      <c r="G4" s="19"/>
    </row>
    <row r="5" customFormat="false" ht="30" hidden="false" customHeight="true" outlineLevel="0" collapsed="false">
      <c r="B5" s="60" t="n">
        <f aca="false">'Monthly Analysis'!G10</f>
        <v>401.48886996904</v>
      </c>
      <c r="C5" s="60"/>
      <c r="D5" s="61" t="n">
        <f aca="false">'Monthly Analysis'!J10</f>
        <v>806.465</v>
      </c>
      <c r="E5" s="61"/>
      <c r="F5" s="62" t="n">
        <f aca="false">'Monthly Analysis'!K10</f>
        <v>404.97613003096</v>
      </c>
      <c r="G5" s="62"/>
    </row>
    <row r="6" customFormat="false" ht="30" hidden="false" customHeight="true" outlineLevel="0" collapsed="false">
      <c r="B6" s="60"/>
      <c r="C6" s="60"/>
      <c r="D6" s="61"/>
      <c r="E6" s="61"/>
      <c r="F6" s="62"/>
      <c r="G6" s="62"/>
    </row>
    <row r="7" customFormat="false" ht="12" hidden="false" customHeight="true" outlineLevel="0" collapsed="false"/>
    <row r="8" customFormat="false" ht="27.75" hidden="false" customHeight="true" outlineLevel="0" collapsed="false">
      <c r="B8" s="63" t="s">
        <v>74</v>
      </c>
      <c r="C8" s="63"/>
      <c r="D8" s="63" t="s">
        <v>75</v>
      </c>
      <c r="E8" s="63"/>
      <c r="F8" s="63" t="s">
        <v>76</v>
      </c>
      <c r="G8" s="63"/>
    </row>
    <row r="9" customFormat="false" ht="30" hidden="false" customHeight="true" outlineLevel="0" collapsed="false">
      <c r="B9" s="64" t="n">
        <f aca="false">'Monthly Analysis'!G11</f>
        <v>66.9148116615067</v>
      </c>
      <c r="C9" s="64"/>
      <c r="D9" s="65" t="n">
        <f aca="false">'Monthly Analysis'!J11</f>
        <v>134.410833333333</v>
      </c>
      <c r="E9" s="65"/>
      <c r="F9" s="66" t="n">
        <f aca="false">'Monthly Analysis'!K11</f>
        <v>67.4960216718266</v>
      </c>
      <c r="G9" s="66"/>
    </row>
    <row r="10" customFormat="false" ht="30" hidden="false" customHeight="true" outlineLevel="0" collapsed="false">
      <c r="B10" s="64"/>
      <c r="C10" s="64"/>
      <c r="D10" s="65"/>
      <c r="E10" s="65"/>
      <c r="F10" s="66"/>
      <c r="G10" s="66"/>
    </row>
    <row r="11" customFormat="false" ht="12" hidden="false" customHeight="true" outlineLevel="0" collapsed="false"/>
    <row r="12" customFormat="false" ht="21.75" hidden="false" customHeight="true" outlineLevel="0" collapsed="false">
      <c r="B12" s="67" t="s">
        <v>77</v>
      </c>
      <c r="C12" s="67"/>
      <c r="D12" s="67"/>
      <c r="E12" s="67"/>
      <c r="F12" s="67"/>
      <c r="G12" s="67"/>
    </row>
    <row r="13" customFormat="false" ht="27.75" hidden="false" customHeight="true" outlineLevel="0" collapsed="false">
      <c r="B13" s="68" t="s">
        <v>78</v>
      </c>
      <c r="C13" s="68"/>
      <c r="D13" s="69" t="n">
        <f aca="false">'Monthly Analysis'!K11*12</f>
        <v>809.95226006192</v>
      </c>
      <c r="E13" s="69"/>
      <c r="F13" s="70" t="s">
        <v>79</v>
      </c>
      <c r="G13" s="70"/>
    </row>
    <row r="14" customFormat="false" ht="27.75" hidden="false" customHeight="true" outlineLevel="0" collapsed="false">
      <c r="B14" s="68" t="s">
        <v>80</v>
      </c>
      <c r="C14" s="68"/>
      <c r="D14" s="71" t="n">
        <f aca="false">'Monthly Analysis'!K11*12*8</f>
        <v>6479.61808049536</v>
      </c>
      <c r="E14" s="71"/>
      <c r="F14" s="70" t="s">
        <v>81</v>
      </c>
      <c r="G14" s="70"/>
    </row>
    <row r="15" customFormat="false" ht="9.75" hidden="false" customHeight="true" outlineLevel="0" collapsed="false"/>
    <row r="16" customFormat="false" ht="27.75" hidden="false" customHeight="true" outlineLevel="0" collapsed="false">
      <c r="B16" s="72" t="s">
        <v>82</v>
      </c>
      <c r="C16" s="72"/>
      <c r="D16" s="72"/>
      <c r="E16" s="72"/>
      <c r="F16" s="72"/>
      <c r="G16" s="72"/>
    </row>
  </sheetData>
  <mergeCells count="22">
    <mergeCell ref="A1:H1"/>
    <mergeCell ref="A2:H2"/>
    <mergeCell ref="B4:C4"/>
    <mergeCell ref="D4:E4"/>
    <mergeCell ref="F4:G4"/>
    <mergeCell ref="B5:C6"/>
    <mergeCell ref="D5:E6"/>
    <mergeCell ref="F5:G6"/>
    <mergeCell ref="B8:C8"/>
    <mergeCell ref="D8:E8"/>
    <mergeCell ref="F8:G8"/>
    <mergeCell ref="B9:C10"/>
    <mergeCell ref="D9:E10"/>
    <mergeCell ref="F9:G10"/>
    <mergeCell ref="B12:G12"/>
    <mergeCell ref="B13:C13"/>
    <mergeCell ref="D13:E13"/>
    <mergeCell ref="F13:G13"/>
    <mergeCell ref="B14:C14"/>
    <mergeCell ref="D14:E14"/>
    <mergeCell ref="F14:G14"/>
    <mergeCell ref="B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2026-03-07T04:44:43Z</dcterms:created>
  <dc:creator>openpyxl</dc:creator>
  <dc:description/>
  <dc:language>en-US</dc:language>
  <cp:lastModifiedBy/>
  <dcterms:modified xsi:type="dcterms:W3CDTF">2026-03-06T23:44:47Z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